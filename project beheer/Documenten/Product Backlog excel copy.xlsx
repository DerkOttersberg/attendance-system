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ko\OneDrive\Bureaublad\werk-school\school\stage\project beheer\"/>
    </mc:Choice>
  </mc:AlternateContent>
  <xr:revisionPtr revIDLastSave="0" documentId="13_ncr:1_{8EA2F059-C376-4A24-A489-51CDD7B7401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F2" i="1"/>
  <c r="G2" i="1"/>
</calcChain>
</file>

<file path=xl/sharedStrings.xml><?xml version="1.0" encoding="utf-8"?>
<sst xmlns="http://schemas.openxmlformats.org/spreadsheetml/2006/main" count="124" uniqueCount="60">
  <si>
    <t>ID</t>
  </si>
  <si>
    <t>User Story</t>
  </si>
  <si>
    <t>Priority</t>
  </si>
  <si>
    <t>Story Points</t>
  </si>
  <si>
    <t>Install Linux on STM32 and verify boot functionality</t>
  </si>
  <si>
    <t>Configure SPI communication between STM32 and touchscreen</t>
  </si>
  <si>
    <t>Write custom drivers for touchscreen SPI data reading</t>
  </si>
  <si>
    <t>Install correct libraries and dependencies for touchscreen</t>
  </si>
  <si>
    <t>Verify touchscreen hardware works (draw test)</t>
  </si>
  <si>
    <t>Research suitable IDE, tools, and programming setup</t>
  </si>
  <si>
    <t>Configure Device Tree for touchscreen functionality</t>
  </si>
  <si>
    <t>Create GUI to display signature data visually</t>
  </si>
  <si>
    <t>Write basic driver to communicate with RFID module</t>
  </si>
  <si>
    <t>Verify RFID hardware and connection (read tag UID)</t>
  </si>
  <si>
    <t>Implement clock-in logic using RFID tag</t>
  </si>
  <si>
    <t>Implement clock-out logic using same RFID tag</t>
  </si>
  <si>
    <t>Show user feedback (success message) after check-in/out</t>
  </si>
  <si>
    <t>Implement visual LED feedback for system status</t>
  </si>
  <si>
    <t>Implement buzzer feedback for errors</t>
  </si>
  <si>
    <t>Set up communication between STM32 and local database</t>
  </si>
  <si>
    <t>Create database schema for time tracking</t>
  </si>
  <si>
    <t>Implement simple API for RFID data submission</t>
  </si>
  <si>
    <t>Store RFID check-in/out events in database</t>
  </si>
  <si>
    <t>Display live user status on touchscreen</t>
  </si>
  <si>
    <t>Add ability to manually check in/out via name or ID</t>
  </si>
  <si>
    <t>Create PDF export of attendance data with signatures</t>
  </si>
  <si>
    <t>Develop admin dashboard for overview of check-ins</t>
  </si>
  <si>
    <t>Set up error logging for hardware and server communication</t>
  </si>
  <si>
    <t>Implement offline clock-in/out with queueing</t>
  </si>
  <si>
    <t>Implement automatic reconnect after network failure</t>
  </si>
  <si>
    <t>Allow remote configuration of device settings</t>
  </si>
  <si>
    <t>Add health monitoring for device connection</t>
  </si>
  <si>
    <t>Backup and recovery system for attendance data</t>
  </si>
  <si>
    <t>Add multi-language interface (Dutch/English)</t>
  </si>
  <si>
    <t>Design and 3D print physical encasing</t>
  </si>
  <si>
    <t>Assemble encasing and fit components securely</t>
  </si>
  <si>
    <t>Add system reset button for safe reboot</t>
  </si>
  <si>
    <t>Test entire flow: RFID → Database → Display feedback</t>
  </si>
  <si>
    <t>Finalize documentation of setup, drivers, and dataflow</t>
  </si>
  <si>
    <t>Must</t>
  </si>
  <si>
    <t>Should</t>
  </si>
  <si>
    <t>Could</t>
  </si>
  <si>
    <t>Set up STM32 base developing environment</t>
  </si>
  <si>
    <t>x</t>
  </si>
  <si>
    <t>Implement touch signature input in GUI</t>
  </si>
  <si>
    <t>Develop GUI that integrates RFID data and display</t>
  </si>
  <si>
    <t>Connect STM32 (M4 chip) with A7 chip for data forwarding via shared memory</t>
  </si>
  <si>
    <t>Done</t>
  </si>
  <si>
    <t>Setup security for the dashboard, database</t>
  </si>
  <si>
    <t>The GUI must be the only screen available on the device, users can't go into linux</t>
  </si>
  <si>
    <t>The GUI must have a admin screen</t>
  </si>
  <si>
    <t>The Admin must be able to easily add new users to the GUI</t>
  </si>
  <si>
    <t>Points must automaticly be assigned to the Users based on their attendance, in the points website</t>
  </si>
  <si>
    <t>To Do</t>
  </si>
  <si>
    <t>Burnout</t>
  </si>
  <si>
    <t>Sprint</t>
  </si>
  <si>
    <t>Story points  Goal</t>
  </si>
  <si>
    <t>Story points Behaald</t>
  </si>
  <si>
    <t>goal velocity</t>
  </si>
  <si>
    <t>remaining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</si>
</sst>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149 Story pointS</a:t>
            </a:r>
          </a:p>
        </c:rich>
      </c:tx>
      <c:layout>
        <c:manualLayout>
          <c:xMode val="edge"/>
          <c:yMode val="edge"/>
          <c:x val="0.3844930008748906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003-4DF7-840F-93C831F5B7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(Sheet1!$F$1,Sheet1!$G$1)</c:f>
              <c:strCache>
                <c:ptCount val="2"/>
                <c:pt idx="0">
                  <c:v>Done</c:v>
                </c:pt>
                <c:pt idx="1">
                  <c:v>To Do</c:v>
                </c:pt>
              </c:strCache>
            </c:strRef>
          </c:cat>
          <c:val>
            <c:numRef>
              <c:f>(Sheet1!$F$2,Sheet1!$G$2)</c:f>
              <c:numCache>
                <c:formatCode>General</c:formatCode>
                <c:ptCount val="2"/>
                <c:pt idx="0">
                  <c:v>149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3-4DF7-840F-93C831F5B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Burn</a:t>
            </a:r>
            <a:r>
              <a:rPr lang="nl-NL" baseline="0"/>
              <a:t> out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[1]Sheet1!$D$2</c:f>
              <c:strCache>
                <c:ptCount val="1"/>
                <c:pt idx="0">
                  <c:v>goal 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[1]Sheet1!$D$3:$D$9</c:f>
              <c:numCache>
                <c:formatCode>General</c:formatCode>
                <c:ptCount val="7"/>
                <c:pt idx="0">
                  <c:v>120</c:v>
                </c:pt>
                <c:pt idx="1">
                  <c:v>100</c:v>
                </c:pt>
                <c:pt idx="2">
                  <c:v>80</c:v>
                </c:pt>
                <c:pt idx="3">
                  <c:v>60</c:v>
                </c:pt>
                <c:pt idx="4">
                  <c:v>40</c:v>
                </c:pt>
                <c:pt idx="5">
                  <c:v>20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C-4D65-8847-ACB6024BED77}"/>
            </c:ext>
          </c:extLst>
        </c:ser>
        <c:ser>
          <c:idx val="1"/>
          <c:order val="1"/>
          <c:tx>
            <c:strRef>
              <c:f>[1]Sheet1!$E$2</c:f>
              <c:strCache>
                <c:ptCount val="1"/>
                <c:pt idx="0">
                  <c:v>remaining points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[1]Sheet1!$E$3:$E$9</c:f>
              <c:numCache>
                <c:formatCode>General</c:formatCode>
                <c:ptCount val="7"/>
                <c:pt idx="0">
                  <c:v>120</c:v>
                </c:pt>
                <c:pt idx="1">
                  <c:v>120</c:v>
                </c:pt>
                <c:pt idx="2">
                  <c:v>103</c:v>
                </c:pt>
                <c:pt idx="3">
                  <c:v>86</c:v>
                </c:pt>
                <c:pt idx="4">
                  <c:v>48</c:v>
                </c:pt>
                <c:pt idx="5">
                  <c:v>29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C-4D65-8847-ACB6024B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825983"/>
        <c:axId val="1304827903"/>
      </c:lineChart>
      <c:catAx>
        <c:axId val="130482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Sprint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4827903"/>
        <c:crosses val="autoZero"/>
        <c:auto val="1"/>
        <c:lblAlgn val="ctr"/>
        <c:lblOffset val="100"/>
        <c:noMultiLvlLbl val="0"/>
      </c:catAx>
      <c:valAx>
        <c:axId val="130482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Remainig</a:t>
                </a:r>
                <a:r>
                  <a:rPr lang="nl-NL" baseline="0"/>
                  <a:t>  story pooits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0482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</xdr:row>
      <xdr:rowOff>100012</xdr:rowOff>
    </xdr:from>
    <xdr:to>
      <xdr:col>14</xdr:col>
      <xdr:colOff>314325</xdr:colOff>
      <xdr:row>17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73F2CA-60FD-5F05-D170-BA6A772F3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49</xdr:row>
      <xdr:rowOff>0</xdr:rowOff>
    </xdr:from>
    <xdr:to>
      <xdr:col>18</xdr:col>
      <xdr:colOff>261938</xdr:colOff>
      <xdr:row>60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3A743D-7EE2-4E79-9CDA-348A4F759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24</xdr:col>
      <xdr:colOff>401467</xdr:colOff>
      <xdr:row>41</xdr:row>
      <xdr:rowOff>95795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E1419B-A40B-0567-127E-3FA1EA18E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39400" y="4000500"/>
          <a:ext cx="10155067" cy="39057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rko\Downloads\Burndown_Chart%20(1).xlsx" TargetMode="External"/><Relationship Id="rId1" Type="http://schemas.openxmlformats.org/officeDocument/2006/relationships/externalLinkPath" Target="file:///C:\Users\derko\Downloads\Burndown_Char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 t="str">
            <v>goal velocity</v>
          </cell>
          <cell r="E2" t="str">
            <v>remaining points</v>
          </cell>
        </row>
        <row r="3">
          <cell r="D3">
            <v>120</v>
          </cell>
          <cell r="E3">
            <v>120</v>
          </cell>
        </row>
        <row r="4">
          <cell r="D4">
            <v>100</v>
          </cell>
          <cell r="E4">
            <v>120</v>
          </cell>
        </row>
        <row r="5">
          <cell r="D5">
            <v>80</v>
          </cell>
          <cell r="E5">
            <v>103</v>
          </cell>
        </row>
        <row r="6">
          <cell r="D6">
            <v>60</v>
          </cell>
          <cell r="E6">
            <v>86</v>
          </cell>
        </row>
        <row r="7">
          <cell r="D7">
            <v>40</v>
          </cell>
          <cell r="E7">
            <v>48</v>
          </cell>
        </row>
        <row r="8">
          <cell r="D8">
            <v>20</v>
          </cell>
          <cell r="E8">
            <v>29</v>
          </cell>
        </row>
        <row r="9">
          <cell r="D9">
            <v>0</v>
          </cell>
          <cell r="E9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zoomScale="70" zoomScaleNormal="70" workbookViewId="0">
      <selection activeCell="G28" sqref="G28"/>
    </sheetView>
  </sheetViews>
  <sheetFormatPr defaultRowHeight="15" x14ac:dyDescent="0.25"/>
  <cols>
    <col min="2" max="2" width="90.140625" customWidth="1"/>
    <col min="3" max="3" width="6.85546875" customWidth="1"/>
    <col min="4" max="4" width="1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47</v>
      </c>
      <c r="G1" s="2" t="s">
        <v>53</v>
      </c>
    </row>
    <row r="2" spans="1:7" x14ac:dyDescent="0.25">
      <c r="A2">
        <v>1</v>
      </c>
      <c r="B2" t="s">
        <v>42</v>
      </c>
      <c r="C2" t="s">
        <v>39</v>
      </c>
      <c r="D2">
        <v>3</v>
      </c>
      <c r="E2" t="s">
        <v>43</v>
      </c>
      <c r="F2">
        <f>SUMIF(C:C, "Must", D:D)</f>
        <v>149</v>
      </c>
      <c r="G2">
        <f>SUMIFS(D:D, C:C, "Must", E:E, "x")</f>
        <v>94</v>
      </c>
    </row>
    <row r="3" spans="1:7" x14ac:dyDescent="0.25">
      <c r="A3">
        <v>2</v>
      </c>
      <c r="B3" t="s">
        <v>4</v>
      </c>
      <c r="C3" t="s">
        <v>39</v>
      </c>
      <c r="D3">
        <v>5</v>
      </c>
      <c r="E3" t="s">
        <v>43</v>
      </c>
    </row>
    <row r="4" spans="1:7" x14ac:dyDescent="0.25">
      <c r="A4">
        <v>3</v>
      </c>
      <c r="B4" t="s">
        <v>5</v>
      </c>
      <c r="C4" t="s">
        <v>39</v>
      </c>
      <c r="D4">
        <v>5</v>
      </c>
      <c r="E4" t="s">
        <v>43</v>
      </c>
    </row>
    <row r="5" spans="1:7" x14ac:dyDescent="0.25">
      <c r="A5">
        <v>4</v>
      </c>
      <c r="B5" t="s">
        <v>6</v>
      </c>
      <c r="C5" t="s">
        <v>39</v>
      </c>
      <c r="D5">
        <v>8</v>
      </c>
      <c r="E5" t="s">
        <v>43</v>
      </c>
    </row>
    <row r="6" spans="1:7" x14ac:dyDescent="0.25">
      <c r="A6">
        <v>5</v>
      </c>
      <c r="B6" t="s">
        <v>7</v>
      </c>
      <c r="C6" t="s">
        <v>39</v>
      </c>
      <c r="D6">
        <v>3</v>
      </c>
      <c r="E6" t="s">
        <v>43</v>
      </c>
    </row>
    <row r="7" spans="1:7" x14ac:dyDescent="0.25">
      <c r="A7">
        <v>6</v>
      </c>
      <c r="B7" t="s">
        <v>8</v>
      </c>
      <c r="C7" t="s">
        <v>39</v>
      </c>
      <c r="D7">
        <v>3</v>
      </c>
      <c r="E7" t="s">
        <v>43</v>
      </c>
    </row>
    <row r="8" spans="1:7" x14ac:dyDescent="0.25">
      <c r="A8">
        <v>7</v>
      </c>
      <c r="B8" t="s">
        <v>9</v>
      </c>
      <c r="C8" t="s">
        <v>39</v>
      </c>
      <c r="D8">
        <v>2</v>
      </c>
      <c r="E8" t="s">
        <v>43</v>
      </c>
    </row>
    <row r="9" spans="1:7" x14ac:dyDescent="0.25">
      <c r="A9">
        <v>8</v>
      </c>
      <c r="B9" t="s">
        <v>10</v>
      </c>
      <c r="C9" t="s">
        <v>39</v>
      </c>
      <c r="D9">
        <v>5</v>
      </c>
    </row>
    <row r="10" spans="1:7" x14ac:dyDescent="0.25">
      <c r="A10">
        <v>9</v>
      </c>
      <c r="B10" t="s">
        <v>44</v>
      </c>
      <c r="C10" t="s">
        <v>39</v>
      </c>
      <c r="D10">
        <v>5</v>
      </c>
      <c r="E10" t="s">
        <v>43</v>
      </c>
    </row>
    <row r="11" spans="1:7" x14ac:dyDescent="0.25">
      <c r="A11">
        <v>10</v>
      </c>
      <c r="B11" t="s">
        <v>11</v>
      </c>
      <c r="C11" t="s">
        <v>39</v>
      </c>
      <c r="D11">
        <v>3</v>
      </c>
      <c r="E11" t="s">
        <v>43</v>
      </c>
    </row>
    <row r="12" spans="1:7" x14ac:dyDescent="0.25">
      <c r="A12">
        <v>11</v>
      </c>
      <c r="B12" t="s">
        <v>12</v>
      </c>
      <c r="C12" t="s">
        <v>39</v>
      </c>
      <c r="D12">
        <v>5</v>
      </c>
      <c r="E12" t="s">
        <v>43</v>
      </c>
    </row>
    <row r="13" spans="1:7" x14ac:dyDescent="0.25">
      <c r="A13">
        <v>12</v>
      </c>
      <c r="B13" t="s">
        <v>13</v>
      </c>
      <c r="C13" t="s">
        <v>39</v>
      </c>
      <c r="D13">
        <v>3</v>
      </c>
      <c r="E13" t="s">
        <v>43</v>
      </c>
    </row>
    <row r="14" spans="1:7" x14ac:dyDescent="0.25">
      <c r="A14">
        <v>13</v>
      </c>
      <c r="B14" t="s">
        <v>14</v>
      </c>
      <c r="C14" t="s">
        <v>39</v>
      </c>
      <c r="D14">
        <v>3</v>
      </c>
      <c r="E14" t="s">
        <v>43</v>
      </c>
    </row>
    <row r="15" spans="1:7" x14ac:dyDescent="0.25">
      <c r="A15">
        <v>14</v>
      </c>
      <c r="B15" t="s">
        <v>15</v>
      </c>
      <c r="C15" t="s">
        <v>39</v>
      </c>
      <c r="D15">
        <v>2</v>
      </c>
      <c r="E15" t="s">
        <v>43</v>
      </c>
    </row>
    <row r="16" spans="1:7" x14ac:dyDescent="0.25">
      <c r="A16">
        <v>15</v>
      </c>
      <c r="B16" t="s">
        <v>16</v>
      </c>
      <c r="C16" t="s">
        <v>39</v>
      </c>
      <c r="D16">
        <v>2</v>
      </c>
      <c r="E16" t="s">
        <v>43</v>
      </c>
    </row>
    <row r="17" spans="1:5" x14ac:dyDescent="0.25">
      <c r="A17">
        <v>16</v>
      </c>
      <c r="B17" t="s">
        <v>17</v>
      </c>
      <c r="C17" t="s">
        <v>39</v>
      </c>
      <c r="D17">
        <v>3</v>
      </c>
    </row>
    <row r="18" spans="1:5" x14ac:dyDescent="0.25">
      <c r="A18">
        <v>17</v>
      </c>
      <c r="B18" t="s">
        <v>18</v>
      </c>
      <c r="C18" t="s">
        <v>39</v>
      </c>
      <c r="D18">
        <v>2</v>
      </c>
    </row>
    <row r="19" spans="1:5" x14ac:dyDescent="0.25">
      <c r="A19">
        <v>18</v>
      </c>
      <c r="B19" t="s">
        <v>45</v>
      </c>
      <c r="C19" t="s">
        <v>39</v>
      </c>
      <c r="D19">
        <v>5</v>
      </c>
      <c r="E19" t="s">
        <v>43</v>
      </c>
    </row>
    <row r="20" spans="1:5" x14ac:dyDescent="0.25">
      <c r="A20">
        <v>19</v>
      </c>
      <c r="B20" t="s">
        <v>46</v>
      </c>
      <c r="C20" t="s">
        <v>39</v>
      </c>
      <c r="D20">
        <v>5</v>
      </c>
      <c r="E20" t="s">
        <v>43</v>
      </c>
    </row>
    <row r="21" spans="1:5" x14ac:dyDescent="0.25">
      <c r="A21">
        <v>20</v>
      </c>
      <c r="B21" t="s">
        <v>19</v>
      </c>
      <c r="C21" t="s">
        <v>39</v>
      </c>
      <c r="D21">
        <v>5</v>
      </c>
      <c r="E21" t="s">
        <v>43</v>
      </c>
    </row>
    <row r="22" spans="1:5" x14ac:dyDescent="0.25">
      <c r="A22">
        <v>21</v>
      </c>
      <c r="B22" t="s">
        <v>20</v>
      </c>
      <c r="C22" t="s">
        <v>39</v>
      </c>
      <c r="D22">
        <v>3</v>
      </c>
      <c r="E22" t="s">
        <v>43</v>
      </c>
    </row>
    <row r="23" spans="1:5" x14ac:dyDescent="0.25">
      <c r="A23">
        <v>22</v>
      </c>
      <c r="B23" t="s">
        <v>21</v>
      </c>
      <c r="C23" t="s">
        <v>39</v>
      </c>
      <c r="D23">
        <v>5</v>
      </c>
      <c r="E23" t="s">
        <v>43</v>
      </c>
    </row>
    <row r="24" spans="1:5" x14ac:dyDescent="0.25">
      <c r="A24">
        <v>23</v>
      </c>
      <c r="B24" t="s">
        <v>22</v>
      </c>
      <c r="C24" t="s">
        <v>39</v>
      </c>
      <c r="D24">
        <v>3</v>
      </c>
      <c r="E24" t="s">
        <v>43</v>
      </c>
    </row>
    <row r="25" spans="1:5" x14ac:dyDescent="0.25">
      <c r="A25">
        <v>24</v>
      </c>
      <c r="B25" t="s">
        <v>23</v>
      </c>
      <c r="C25" t="s">
        <v>40</v>
      </c>
      <c r="D25">
        <v>4</v>
      </c>
    </row>
    <row r="26" spans="1:5" x14ac:dyDescent="0.25">
      <c r="A26">
        <v>25</v>
      </c>
      <c r="B26" t="s">
        <v>24</v>
      </c>
      <c r="C26" t="s">
        <v>40</v>
      </c>
      <c r="D26">
        <v>4</v>
      </c>
    </row>
    <row r="27" spans="1:5" x14ac:dyDescent="0.25">
      <c r="A27">
        <v>26</v>
      </c>
      <c r="B27" t="s">
        <v>25</v>
      </c>
      <c r="C27" t="s">
        <v>39</v>
      </c>
      <c r="D27">
        <v>5</v>
      </c>
      <c r="E27" t="s">
        <v>43</v>
      </c>
    </row>
    <row r="28" spans="1:5" x14ac:dyDescent="0.25">
      <c r="A28">
        <v>27</v>
      </c>
      <c r="B28" t="s">
        <v>26</v>
      </c>
      <c r="C28" t="s">
        <v>39</v>
      </c>
      <c r="D28">
        <v>5</v>
      </c>
      <c r="E28" t="s">
        <v>43</v>
      </c>
    </row>
    <row r="29" spans="1:5" x14ac:dyDescent="0.25">
      <c r="A29">
        <v>28</v>
      </c>
      <c r="B29" t="s">
        <v>27</v>
      </c>
      <c r="C29" t="s">
        <v>39</v>
      </c>
      <c r="D29">
        <v>3</v>
      </c>
      <c r="E29" t="s">
        <v>43</v>
      </c>
    </row>
    <row r="30" spans="1:5" x14ac:dyDescent="0.25">
      <c r="A30">
        <v>29</v>
      </c>
      <c r="B30" t="s">
        <v>28</v>
      </c>
      <c r="C30" t="s">
        <v>39</v>
      </c>
      <c r="D30">
        <v>5</v>
      </c>
    </row>
    <row r="31" spans="1:5" x14ac:dyDescent="0.25">
      <c r="A31">
        <v>30</v>
      </c>
      <c r="B31" t="s">
        <v>29</v>
      </c>
      <c r="C31" t="s">
        <v>39</v>
      </c>
      <c r="D31">
        <v>3</v>
      </c>
      <c r="E31" t="s">
        <v>43</v>
      </c>
    </row>
    <row r="32" spans="1:5" x14ac:dyDescent="0.25">
      <c r="A32">
        <v>31</v>
      </c>
      <c r="B32" t="s">
        <v>30</v>
      </c>
      <c r="C32" t="s">
        <v>40</v>
      </c>
      <c r="D32">
        <v>4</v>
      </c>
    </row>
    <row r="33" spans="1:4" x14ac:dyDescent="0.25">
      <c r="A33">
        <v>32</v>
      </c>
      <c r="B33" t="s">
        <v>31</v>
      </c>
      <c r="C33" t="s">
        <v>40</v>
      </c>
      <c r="D33">
        <v>3</v>
      </c>
    </row>
    <row r="34" spans="1:4" x14ac:dyDescent="0.25">
      <c r="A34">
        <v>33</v>
      </c>
      <c r="B34" t="s">
        <v>32</v>
      </c>
      <c r="C34" t="s">
        <v>40</v>
      </c>
      <c r="D34">
        <v>4</v>
      </c>
    </row>
    <row r="35" spans="1:4" x14ac:dyDescent="0.25">
      <c r="A35">
        <v>34</v>
      </c>
      <c r="B35" t="s">
        <v>33</v>
      </c>
      <c r="C35" t="s">
        <v>41</v>
      </c>
      <c r="D35">
        <v>3</v>
      </c>
    </row>
    <row r="36" spans="1:4" x14ac:dyDescent="0.25">
      <c r="A36">
        <v>35</v>
      </c>
      <c r="B36" t="s">
        <v>34</v>
      </c>
      <c r="C36" t="s">
        <v>39</v>
      </c>
      <c r="D36">
        <v>8</v>
      </c>
    </row>
    <row r="37" spans="1:4" x14ac:dyDescent="0.25">
      <c r="A37">
        <v>36</v>
      </c>
      <c r="B37" t="s">
        <v>35</v>
      </c>
      <c r="C37" t="s">
        <v>39</v>
      </c>
      <c r="D37">
        <v>2</v>
      </c>
    </row>
    <row r="38" spans="1:4" x14ac:dyDescent="0.25">
      <c r="A38">
        <v>37</v>
      </c>
      <c r="B38" t="s">
        <v>36</v>
      </c>
      <c r="C38" t="s">
        <v>39</v>
      </c>
      <c r="D38">
        <v>2</v>
      </c>
    </row>
    <row r="39" spans="1:4" x14ac:dyDescent="0.25">
      <c r="A39">
        <v>38</v>
      </c>
      <c r="B39" t="s">
        <v>37</v>
      </c>
      <c r="C39" t="s">
        <v>39</v>
      </c>
      <c r="D39">
        <v>5</v>
      </c>
    </row>
    <row r="40" spans="1:4" x14ac:dyDescent="0.25">
      <c r="A40">
        <v>39</v>
      </c>
      <c r="B40" t="s">
        <v>38</v>
      </c>
      <c r="C40" t="s">
        <v>39</v>
      </c>
      <c r="D40">
        <v>3</v>
      </c>
    </row>
    <row r="41" spans="1:4" x14ac:dyDescent="0.25">
      <c r="A41">
        <v>40</v>
      </c>
      <c r="B41" t="s">
        <v>48</v>
      </c>
      <c r="C41" t="s">
        <v>39</v>
      </c>
      <c r="D41">
        <v>6</v>
      </c>
    </row>
    <row r="42" spans="1:4" x14ac:dyDescent="0.25">
      <c r="A42">
        <v>41</v>
      </c>
      <c r="B42" t="s">
        <v>49</v>
      </c>
      <c r="C42" t="s">
        <v>39</v>
      </c>
      <c r="D42">
        <v>3</v>
      </c>
    </row>
    <row r="43" spans="1:4" x14ac:dyDescent="0.25">
      <c r="A43">
        <v>42</v>
      </c>
      <c r="B43" t="s">
        <v>50</v>
      </c>
      <c r="C43" t="s">
        <v>39</v>
      </c>
      <c r="D43">
        <v>4</v>
      </c>
    </row>
    <row r="44" spans="1:4" x14ac:dyDescent="0.25">
      <c r="A44">
        <v>43</v>
      </c>
      <c r="B44" t="s">
        <v>51</v>
      </c>
      <c r="C44" t="s">
        <v>39</v>
      </c>
      <c r="D44">
        <v>3</v>
      </c>
    </row>
    <row r="45" spans="1:4" x14ac:dyDescent="0.25">
      <c r="A45">
        <v>44</v>
      </c>
      <c r="B45" t="s">
        <v>52</v>
      </c>
      <c r="C45" t="s">
        <v>39</v>
      </c>
      <c r="D45">
        <v>4</v>
      </c>
    </row>
    <row r="50" spans="5:9" x14ac:dyDescent="0.25">
      <c r="E50" s="3" t="s">
        <v>54</v>
      </c>
      <c r="F50" s="4"/>
      <c r="G50" s="4"/>
      <c r="H50" s="4"/>
      <c r="I50" s="5"/>
    </row>
    <row r="51" spans="5:9" ht="45" x14ac:dyDescent="0.25">
      <c r="E51" s="6" t="s">
        <v>55</v>
      </c>
      <c r="F51" s="7" t="s">
        <v>56</v>
      </c>
      <c r="G51" s="7" t="s">
        <v>57</v>
      </c>
      <c r="H51" s="7" t="s">
        <v>58</v>
      </c>
      <c r="I51" s="7" t="s">
        <v>59</v>
      </c>
    </row>
    <row r="52" spans="5:9" x14ac:dyDescent="0.25">
      <c r="E52" s="8">
        <v>0</v>
      </c>
      <c r="F52" s="8">
        <v>0</v>
      </c>
      <c r="G52" s="8">
        <v>0</v>
      </c>
      <c r="H52" s="8">
        <v>12</v>
      </c>
      <c r="I52">
        <f>SUMIF(F:F, "Must", G:G)</f>
        <v>0</v>
      </c>
    </row>
    <row r="53" spans="5:9" x14ac:dyDescent="0.25">
      <c r="E53" s="9">
        <v>1</v>
      </c>
      <c r="F53" s="9">
        <v>20</v>
      </c>
      <c r="G53" s="9">
        <v>0</v>
      </c>
      <c r="H53" s="8">
        <v>12</v>
      </c>
      <c r="I53" s="9"/>
    </row>
    <row r="54" spans="5:9" x14ac:dyDescent="0.25">
      <c r="E54" s="10">
        <v>2</v>
      </c>
      <c r="F54" s="10">
        <v>20</v>
      </c>
      <c r="G54" s="10">
        <v>17</v>
      </c>
      <c r="H54" s="8">
        <v>12</v>
      </c>
      <c r="I54" s="10"/>
    </row>
    <row r="55" spans="5:9" x14ac:dyDescent="0.25">
      <c r="E55" s="9">
        <v>3</v>
      </c>
      <c r="F55" s="9">
        <v>20</v>
      </c>
      <c r="G55" s="9">
        <v>17</v>
      </c>
      <c r="H55" s="8">
        <v>12</v>
      </c>
      <c r="I55" s="9"/>
    </row>
    <row r="56" spans="5:9" x14ac:dyDescent="0.25">
      <c r="E56" s="10">
        <v>4</v>
      </c>
      <c r="F56" s="10">
        <v>20</v>
      </c>
      <c r="G56" s="10">
        <v>38</v>
      </c>
      <c r="H56" s="8">
        <v>12</v>
      </c>
      <c r="I56" s="10"/>
    </row>
    <row r="57" spans="5:9" x14ac:dyDescent="0.25">
      <c r="E57" s="9">
        <v>5</v>
      </c>
      <c r="F57" s="9">
        <v>20</v>
      </c>
      <c r="G57" s="9">
        <v>19</v>
      </c>
      <c r="H57" s="8">
        <v>12</v>
      </c>
      <c r="I57" s="9"/>
    </row>
    <row r="58" spans="5:9" x14ac:dyDescent="0.25">
      <c r="E58" s="11">
        <v>6</v>
      </c>
      <c r="F58" s="11">
        <v>19</v>
      </c>
      <c r="G58" s="11">
        <v>17</v>
      </c>
      <c r="H58" s="8">
        <v>12</v>
      </c>
      <c r="I58" s="11"/>
    </row>
    <row r="59" spans="5:9" x14ac:dyDescent="0.25">
      <c r="E59" s="8">
        <v>7</v>
      </c>
      <c r="H59" s="8">
        <v>12</v>
      </c>
    </row>
    <row r="60" spans="5:9" x14ac:dyDescent="0.25">
      <c r="E60" s="9">
        <v>8</v>
      </c>
      <c r="H60" s="8">
        <v>12</v>
      </c>
    </row>
    <row r="61" spans="5:9" x14ac:dyDescent="0.25">
      <c r="E61" s="10">
        <v>9</v>
      </c>
      <c r="H61" s="8">
        <v>12</v>
      </c>
    </row>
    <row r="62" spans="5:9" x14ac:dyDescent="0.25">
      <c r="E62" s="9">
        <v>10</v>
      </c>
      <c r="H62" s="8">
        <v>12</v>
      </c>
    </row>
    <row r="63" spans="5:9" x14ac:dyDescent="0.25">
      <c r="E63" s="10">
        <v>11</v>
      </c>
      <c r="H63" s="8">
        <v>12</v>
      </c>
    </row>
    <row r="64" spans="5:9" x14ac:dyDescent="0.25">
      <c r="E64" s="9">
        <v>12</v>
      </c>
      <c r="H64" s="8">
        <v>12</v>
      </c>
    </row>
    <row r="65" spans="5:5" x14ac:dyDescent="0.25">
      <c r="E65" s="11"/>
    </row>
    <row r="66" spans="5:5" x14ac:dyDescent="0.25">
      <c r="E66" s="8"/>
    </row>
  </sheetData>
  <mergeCells count="1">
    <mergeCell ref="E50:I5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Derk Ottersberg</dc:creator>
  <cp:lastModifiedBy>Derk Ottersberg (1076265)</cp:lastModifiedBy>
  <dcterms:created xsi:type="dcterms:W3CDTF">2025-11-09T13:43:11Z</dcterms:created>
  <dcterms:modified xsi:type="dcterms:W3CDTF">2025-11-09T14:42:28Z</dcterms:modified>
</cp:coreProperties>
</file>